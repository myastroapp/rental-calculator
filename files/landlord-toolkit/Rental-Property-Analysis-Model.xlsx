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10">
    <font>
      <name val="Calibri"/>
      <family val="2"/>
      <color theme="1"/>
      <sz val="11"/>
      <scheme val="minor"/>
    </font>
    <font>
      <b val="1"/>
      <color rgb="001F6F3C"/>
      <sz val="18"/>
    </font>
    <font>
      <i val="1"/>
      <color rgb="00656D76"/>
    </font>
    <font>
      <b val="1"/>
      <color rgb="00FFFFFF"/>
      <sz val="11"/>
    </font>
    <font>
      <sz val="11"/>
    </font>
    <font>
      <b val="1"/>
      <sz val="11"/>
    </font>
    <font>
      <b val="1"/>
    </font>
    <font>
      <b val="1"/>
      <color rgb="001F6F3C"/>
      <sz val="13"/>
    </font>
    <font>
      <b val="1"/>
      <sz val="12"/>
    </font>
    <font>
      <color rgb="001155CC"/>
      <u val="single"/>
    </font>
  </fonts>
  <fills count="5">
    <fill>
      <patternFill/>
    </fill>
    <fill>
      <patternFill patternType="gray125"/>
    </fill>
    <fill>
      <patternFill patternType="solid">
        <fgColor rgb="001F6F3C"/>
      </patternFill>
    </fill>
    <fill>
      <patternFill patternType="solid">
        <fgColor rgb="00DCE9F7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1" fontId="0" fillId="3" borderId="1" pivotButton="0" quotePrefix="0" xfId="0"/>
    <xf numFmtId="164" fontId="5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0" fontId="6" fillId="4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Rental Property Analysis</t>
        </is>
      </c>
    </row>
    <row r="2">
      <c r="A2" s="2" t="inlineStr">
        <is>
          <t>Edit the shaded blue cells. Everything else calculates automatically.</t>
        </is>
      </c>
    </row>
    <row r="4">
      <c r="A4" s="3" t="inlineStr">
        <is>
          <t>INPUTS  —  edit the blue cells</t>
        </is>
      </c>
      <c r="B4" s="4" t="n"/>
    </row>
    <row r="5">
      <c r="A5" s="5" t="inlineStr">
        <is>
          <t>Purchase price</t>
        </is>
      </c>
      <c r="B5" s="6" t="n">
        <v>200000</v>
      </c>
    </row>
    <row r="6">
      <c r="A6" s="5" t="inlineStr">
        <is>
          <t>Down payment %</t>
        </is>
      </c>
      <c r="B6" s="7" t="n">
        <v>0.2</v>
      </c>
    </row>
    <row r="7">
      <c r="A7" s="5" t="inlineStr">
        <is>
          <t>Closing costs</t>
        </is>
      </c>
      <c r="B7" s="6" t="n">
        <v>6000</v>
      </c>
    </row>
    <row r="8">
      <c r="A8" s="5" t="inlineStr">
        <is>
          <t>Rehab / initial repairs</t>
        </is>
      </c>
      <c r="B8" s="6" t="n">
        <v>0</v>
      </c>
    </row>
    <row r="9">
      <c r="A9" s="5" t="inlineStr">
        <is>
          <t>Loan interest rate (annual)</t>
        </is>
      </c>
      <c r="B9" s="8" t="n">
        <v>0.07000000000000001</v>
      </c>
    </row>
    <row r="10">
      <c r="A10" s="5" t="inlineStr">
        <is>
          <t>Loan term (years)</t>
        </is>
      </c>
      <c r="B10" s="9" t="n">
        <v>30</v>
      </c>
    </row>
    <row r="11">
      <c r="A11" s="5" t="inlineStr">
        <is>
          <t>Gross monthly rent</t>
        </is>
      </c>
      <c r="B11" s="6" t="n">
        <v>2100</v>
      </c>
    </row>
    <row r="12">
      <c r="A12" s="5" t="inlineStr">
        <is>
          <t>Other monthly income</t>
        </is>
      </c>
      <c r="B12" s="6" t="n">
        <v>0</v>
      </c>
    </row>
    <row r="13">
      <c r="A13" s="5" t="inlineStr">
        <is>
          <t>Vacancy rate</t>
        </is>
      </c>
      <c r="B13" s="7" t="n">
        <v>0.05</v>
      </c>
    </row>
    <row r="14">
      <c r="A14" s="5" t="inlineStr">
        <is>
          <t>Property tax (annual)</t>
        </is>
      </c>
      <c r="B14" s="6" t="n">
        <v>2400</v>
      </c>
    </row>
    <row r="15">
      <c r="A15" s="5" t="inlineStr">
        <is>
          <t>Insurance (annual)</t>
        </is>
      </c>
      <c r="B15" s="6" t="n">
        <v>1200</v>
      </c>
    </row>
    <row r="16">
      <c r="A16" s="5" t="inlineStr">
        <is>
          <t>Property management (% of EGI)</t>
        </is>
      </c>
      <c r="B16" s="7" t="n">
        <v>0.08</v>
      </c>
    </row>
    <row r="17">
      <c r="A17" s="5" t="inlineStr">
        <is>
          <t>Maintenance (% of EGI)</t>
        </is>
      </c>
      <c r="B17" s="7" t="n">
        <v>0.05</v>
      </c>
    </row>
    <row r="18">
      <c r="A18" s="5" t="inlineStr">
        <is>
          <t>CapEx reserve (% of EGI)</t>
        </is>
      </c>
      <c r="B18" s="7" t="n">
        <v>0.05</v>
      </c>
    </row>
    <row r="19">
      <c r="A19" s="5" t="inlineStr">
        <is>
          <t>HOA / other (annual)</t>
        </is>
      </c>
      <c r="B19" s="6" t="n">
        <v>0</v>
      </c>
    </row>
    <row r="20">
      <c r="A20" s="5" t="inlineStr">
        <is>
          <t>Annual appreciation %</t>
        </is>
      </c>
      <c r="B20" s="7" t="n">
        <v>0.03</v>
      </c>
    </row>
    <row r="21">
      <c r="A21" s="5" t="inlineStr">
        <is>
          <t>Annual rent growth %</t>
        </is>
      </c>
      <c r="B21" s="7" t="n">
        <v>0.02</v>
      </c>
    </row>
    <row r="22">
      <c r="A22" s="5" t="inlineStr">
        <is>
          <t>Annual expense growth %</t>
        </is>
      </c>
      <c r="B22" s="7" t="n">
        <v>0.02</v>
      </c>
    </row>
    <row r="23">
      <c r="A23" s="5" t="inlineStr">
        <is>
          <t>Selling costs (% of sale)</t>
        </is>
      </c>
      <c r="B23" s="7" t="n">
        <v>0.06</v>
      </c>
    </row>
    <row r="24">
      <c r="A24" s="5" t="inlineStr">
        <is>
          <t>Hold period (years)</t>
        </is>
      </c>
      <c r="B24" s="9" t="n">
        <v>5</v>
      </c>
    </row>
    <row r="26">
      <c r="A26" s="3" t="inlineStr">
        <is>
          <t>RESULTS</t>
        </is>
      </c>
      <c r="B26" s="4" t="n"/>
    </row>
    <row r="27">
      <c r="A27" s="5" t="inlineStr">
        <is>
          <t>Loan amount</t>
        </is>
      </c>
      <c r="B27" s="10">
        <f>B5*(1-B6)</f>
        <v/>
      </c>
    </row>
    <row r="28">
      <c r="A28" s="5" t="inlineStr">
        <is>
          <t>Monthly P&amp;I payment</t>
        </is>
      </c>
      <c r="B28" s="11">
        <f>IF(B9=0,B27/(B10*12),B27*(B9/12)/(1-(1+(B9/12))^(-(B10*12))))</f>
        <v/>
      </c>
    </row>
    <row r="29">
      <c r="A29" s="5" t="inlineStr">
        <is>
          <t>Gross annual rent</t>
        </is>
      </c>
      <c r="B29" s="10">
        <f>(B11+B12)*12</f>
        <v/>
      </c>
    </row>
    <row r="30">
      <c r="A30" s="5" t="inlineStr">
        <is>
          <t>Effective gross income (EGI)</t>
        </is>
      </c>
      <c r="B30" s="10">
        <f>B29*(1-B13)</f>
        <v/>
      </c>
    </row>
    <row r="31">
      <c r="A31" s="5" t="inlineStr">
        <is>
          <t>Operating expenses</t>
        </is>
      </c>
      <c r="B31" s="10">
        <f>B14+B15+B30*(B16+B17+B18)+B19</f>
        <v/>
      </c>
    </row>
    <row r="32">
      <c r="A32" s="5" t="inlineStr">
        <is>
          <t>Net operating income (NOI)</t>
        </is>
      </c>
      <c r="B32" s="10">
        <f>B30-B31</f>
        <v/>
      </c>
    </row>
    <row r="33">
      <c r="A33" s="5" t="inlineStr">
        <is>
          <t>Annual debt service</t>
        </is>
      </c>
      <c r="B33" s="10">
        <f>B28*12</f>
        <v/>
      </c>
    </row>
    <row r="34">
      <c r="A34" s="5" t="inlineStr">
        <is>
          <t>Annual cash flow</t>
        </is>
      </c>
      <c r="B34" s="10">
        <f>B32-B33</f>
        <v/>
      </c>
    </row>
    <row r="35">
      <c r="A35" s="5" t="inlineStr">
        <is>
          <t>Monthly cash flow</t>
        </is>
      </c>
      <c r="B35" s="11">
        <f>B34/12</f>
        <v/>
      </c>
    </row>
    <row r="36">
      <c r="A36" s="5" t="inlineStr">
        <is>
          <t>Total cash invested</t>
        </is>
      </c>
      <c r="B36" s="10">
        <f>B5*B6+B7+B8</f>
        <v/>
      </c>
    </row>
    <row r="37">
      <c r="A37" s="5" t="inlineStr">
        <is>
          <t>Cap rate</t>
        </is>
      </c>
      <c r="B37" s="12">
        <f>B32/B5</f>
        <v/>
      </c>
    </row>
    <row r="38">
      <c r="A38" s="5" t="inlineStr">
        <is>
          <t>Cash-on-cash return</t>
        </is>
      </c>
      <c r="B38" s="12">
        <f>B34/B36</f>
        <v/>
      </c>
    </row>
    <row r="39">
      <c r="A39" s="5" t="inlineStr">
        <is>
          <t>DSCR (NOI / debt service)</t>
        </is>
      </c>
      <c r="B39" s="13">
        <f>B32/B33</f>
        <v/>
      </c>
    </row>
    <row r="40">
      <c r="A40" s="5" t="inlineStr">
        <is>
          <t>Gross rent multiplier</t>
        </is>
      </c>
      <c r="B40" s="13">
        <f>B5/B29</f>
        <v/>
      </c>
    </row>
    <row r="41">
      <c r="A41" s="5" t="inlineStr">
        <is>
          <t>1% rule (rent / price)</t>
        </is>
      </c>
      <c r="B41" s="12">
        <f>B11/B5</f>
        <v/>
      </c>
    </row>
    <row r="43">
      <c r="A43" s="3" t="inlineStr">
        <is>
          <t>10-YEAR PROJECTION</t>
        </is>
      </c>
      <c r="B43" s="4" t="n"/>
    </row>
    <row r="44">
      <c r="A44" s="14" t="inlineStr">
        <is>
          <t>Year</t>
        </is>
      </c>
      <c r="B44" s="14" t="inlineStr">
        <is>
          <t>Gross rent</t>
        </is>
      </c>
      <c r="C44" s="14" t="inlineStr">
        <is>
          <t>EGI</t>
        </is>
      </c>
      <c r="D44" s="14" t="inlineStr">
        <is>
          <t>OpEx</t>
        </is>
      </c>
      <c r="E44" s="14" t="inlineStr">
        <is>
          <t>NOI</t>
        </is>
      </c>
      <c r="F44" s="14" t="inlineStr">
        <is>
          <t>Debt service</t>
        </is>
      </c>
      <c r="G44" s="14" t="inlineStr">
        <is>
          <t>Cash flow</t>
        </is>
      </c>
      <c r="H44" s="14" t="inlineStr">
        <is>
          <t>Property value</t>
        </is>
      </c>
      <c r="I44" s="14" t="inlineStr">
        <is>
          <t>Loan balance</t>
        </is>
      </c>
      <c r="J44" s="14" t="inlineStr">
        <is>
          <t>Equity</t>
        </is>
      </c>
    </row>
    <row r="45">
      <c r="A45" s="15" t="n">
        <v>1</v>
      </c>
      <c r="B45" s="16">
        <f>B29*(1+B21)^(1-1)</f>
        <v/>
      </c>
      <c r="C45" s="16">
        <f>B45*(1-B13)</f>
        <v/>
      </c>
      <c r="D45" s="16">
        <f>(B14+B15+B19)*(1+B22)^(1-1)+C45*(B16+B17+B18)</f>
        <v/>
      </c>
      <c r="E45" s="16">
        <f>C45-D45</f>
        <v/>
      </c>
      <c r="F45" s="16">
        <f>B33</f>
        <v/>
      </c>
      <c r="G45" s="16">
        <f>E45-F45</f>
        <v/>
      </c>
      <c r="H45" s="16">
        <f>B5*(1+B20)^1</f>
        <v/>
      </c>
      <c r="I45" s="16">
        <f>IF(B9=0,B27-B28*12*1,B27*(1+(B9/12))^(12*1)-B28*((1+(B9/12))^(12*1)-1)/(B9/12))</f>
        <v/>
      </c>
      <c r="J45" s="16">
        <f>H45-I45</f>
        <v/>
      </c>
    </row>
    <row r="46">
      <c r="A46" s="15" t="n">
        <v>2</v>
      </c>
      <c r="B46" s="16">
        <f>B29*(1+B21)^(2-1)</f>
        <v/>
      </c>
      <c r="C46" s="16">
        <f>B46*(1-B13)</f>
        <v/>
      </c>
      <c r="D46" s="16">
        <f>(B14+B15+B19)*(1+B22)^(2-1)+C46*(B16+B17+B18)</f>
        <v/>
      </c>
      <c r="E46" s="16">
        <f>C46-D46</f>
        <v/>
      </c>
      <c r="F46" s="16">
        <f>B33</f>
        <v/>
      </c>
      <c r="G46" s="16">
        <f>E46-F46</f>
        <v/>
      </c>
      <c r="H46" s="16">
        <f>B5*(1+B20)^2</f>
        <v/>
      </c>
      <c r="I46" s="16">
        <f>IF(B9=0,B27-B28*12*2,B27*(1+(B9/12))^(12*2)-B28*((1+(B9/12))^(12*2)-1)/(B9/12))</f>
        <v/>
      </c>
      <c r="J46" s="16">
        <f>H46-I46</f>
        <v/>
      </c>
    </row>
    <row r="47">
      <c r="A47" s="15" t="n">
        <v>3</v>
      </c>
      <c r="B47" s="16">
        <f>B29*(1+B21)^(3-1)</f>
        <v/>
      </c>
      <c r="C47" s="16">
        <f>B47*(1-B13)</f>
        <v/>
      </c>
      <c r="D47" s="16">
        <f>(B14+B15+B19)*(1+B22)^(3-1)+C47*(B16+B17+B18)</f>
        <v/>
      </c>
      <c r="E47" s="16">
        <f>C47-D47</f>
        <v/>
      </c>
      <c r="F47" s="16">
        <f>B33</f>
        <v/>
      </c>
      <c r="G47" s="16">
        <f>E47-F47</f>
        <v/>
      </c>
      <c r="H47" s="16">
        <f>B5*(1+B20)^3</f>
        <v/>
      </c>
      <c r="I47" s="16">
        <f>IF(B9=0,B27-B28*12*3,B27*(1+(B9/12))^(12*3)-B28*((1+(B9/12))^(12*3)-1)/(B9/12))</f>
        <v/>
      </c>
      <c r="J47" s="16">
        <f>H47-I47</f>
        <v/>
      </c>
    </row>
    <row r="48">
      <c r="A48" s="15" t="n">
        <v>4</v>
      </c>
      <c r="B48" s="16">
        <f>B29*(1+B21)^(4-1)</f>
        <v/>
      </c>
      <c r="C48" s="16">
        <f>B48*(1-B13)</f>
        <v/>
      </c>
      <c r="D48" s="16">
        <f>(B14+B15+B19)*(1+B22)^(4-1)+C48*(B16+B17+B18)</f>
        <v/>
      </c>
      <c r="E48" s="16">
        <f>C48-D48</f>
        <v/>
      </c>
      <c r="F48" s="16">
        <f>B33</f>
        <v/>
      </c>
      <c r="G48" s="16">
        <f>E48-F48</f>
        <v/>
      </c>
      <c r="H48" s="16">
        <f>B5*(1+B20)^4</f>
        <v/>
      </c>
      <c r="I48" s="16">
        <f>IF(B9=0,B27-B28*12*4,B27*(1+(B9/12))^(12*4)-B28*((1+(B9/12))^(12*4)-1)/(B9/12))</f>
        <v/>
      </c>
      <c r="J48" s="16">
        <f>H48-I48</f>
        <v/>
      </c>
    </row>
    <row r="49">
      <c r="A49" s="15" t="n">
        <v>5</v>
      </c>
      <c r="B49" s="16">
        <f>B29*(1+B21)^(5-1)</f>
        <v/>
      </c>
      <c r="C49" s="16">
        <f>B49*(1-B13)</f>
        <v/>
      </c>
      <c r="D49" s="16">
        <f>(B14+B15+B19)*(1+B22)^(5-1)+C49*(B16+B17+B18)</f>
        <v/>
      </c>
      <c r="E49" s="16">
        <f>C49-D49</f>
        <v/>
      </c>
      <c r="F49" s="16">
        <f>B33</f>
        <v/>
      </c>
      <c r="G49" s="16">
        <f>E49-F49</f>
        <v/>
      </c>
      <c r="H49" s="16">
        <f>B5*(1+B20)^5</f>
        <v/>
      </c>
      <c r="I49" s="16">
        <f>IF(B9=0,B27-B28*12*5,B27*(1+(B9/12))^(12*5)-B28*((1+(B9/12))^(12*5)-1)/(B9/12))</f>
        <v/>
      </c>
      <c r="J49" s="16">
        <f>H49-I49</f>
        <v/>
      </c>
    </row>
    <row r="50">
      <c r="A50" s="15" t="n">
        <v>6</v>
      </c>
      <c r="B50" s="16">
        <f>B29*(1+B21)^(6-1)</f>
        <v/>
      </c>
      <c r="C50" s="16">
        <f>B50*(1-B13)</f>
        <v/>
      </c>
      <c r="D50" s="16">
        <f>(B14+B15+B19)*(1+B22)^(6-1)+C50*(B16+B17+B18)</f>
        <v/>
      </c>
      <c r="E50" s="16">
        <f>C50-D50</f>
        <v/>
      </c>
      <c r="F50" s="16">
        <f>B33</f>
        <v/>
      </c>
      <c r="G50" s="16">
        <f>E50-F50</f>
        <v/>
      </c>
      <c r="H50" s="16">
        <f>B5*(1+B20)^6</f>
        <v/>
      </c>
      <c r="I50" s="16">
        <f>IF(B9=0,B27-B28*12*6,B27*(1+(B9/12))^(12*6)-B28*((1+(B9/12))^(12*6)-1)/(B9/12))</f>
        <v/>
      </c>
      <c r="J50" s="16">
        <f>H50-I50</f>
        <v/>
      </c>
    </row>
    <row r="51">
      <c r="A51" s="15" t="n">
        <v>7</v>
      </c>
      <c r="B51" s="16">
        <f>B29*(1+B21)^(7-1)</f>
        <v/>
      </c>
      <c r="C51" s="16">
        <f>B51*(1-B13)</f>
        <v/>
      </c>
      <c r="D51" s="16">
        <f>(B14+B15+B19)*(1+B22)^(7-1)+C51*(B16+B17+B18)</f>
        <v/>
      </c>
      <c r="E51" s="16">
        <f>C51-D51</f>
        <v/>
      </c>
      <c r="F51" s="16">
        <f>B33</f>
        <v/>
      </c>
      <c r="G51" s="16">
        <f>E51-F51</f>
        <v/>
      </c>
      <c r="H51" s="16">
        <f>B5*(1+B20)^7</f>
        <v/>
      </c>
      <c r="I51" s="16">
        <f>IF(B9=0,B27-B28*12*7,B27*(1+(B9/12))^(12*7)-B28*((1+(B9/12))^(12*7)-1)/(B9/12))</f>
        <v/>
      </c>
      <c r="J51" s="16">
        <f>H51-I51</f>
        <v/>
      </c>
    </row>
    <row r="52">
      <c r="A52" s="15" t="n">
        <v>8</v>
      </c>
      <c r="B52" s="16">
        <f>B29*(1+B21)^(8-1)</f>
        <v/>
      </c>
      <c r="C52" s="16">
        <f>B52*(1-B13)</f>
        <v/>
      </c>
      <c r="D52" s="16">
        <f>(B14+B15+B19)*(1+B22)^(8-1)+C52*(B16+B17+B18)</f>
        <v/>
      </c>
      <c r="E52" s="16">
        <f>C52-D52</f>
        <v/>
      </c>
      <c r="F52" s="16">
        <f>B33</f>
        <v/>
      </c>
      <c r="G52" s="16">
        <f>E52-F52</f>
        <v/>
      </c>
      <c r="H52" s="16">
        <f>B5*(1+B20)^8</f>
        <v/>
      </c>
      <c r="I52" s="16">
        <f>IF(B9=0,B27-B28*12*8,B27*(1+(B9/12))^(12*8)-B28*((1+(B9/12))^(12*8)-1)/(B9/12))</f>
        <v/>
      </c>
      <c r="J52" s="16">
        <f>H52-I52</f>
        <v/>
      </c>
    </row>
    <row r="53">
      <c r="A53" s="15" t="n">
        <v>9</v>
      </c>
      <c r="B53" s="16">
        <f>B29*(1+B21)^(9-1)</f>
        <v/>
      </c>
      <c r="C53" s="16">
        <f>B53*(1-B13)</f>
        <v/>
      </c>
      <c r="D53" s="16">
        <f>(B14+B15+B19)*(1+B22)^(9-1)+C53*(B16+B17+B18)</f>
        <v/>
      </c>
      <c r="E53" s="16">
        <f>C53-D53</f>
        <v/>
      </c>
      <c r="F53" s="16">
        <f>B33</f>
        <v/>
      </c>
      <c r="G53" s="16">
        <f>E53-F53</f>
        <v/>
      </c>
      <c r="H53" s="16">
        <f>B5*(1+B20)^9</f>
        <v/>
      </c>
      <c r="I53" s="16">
        <f>IF(B9=0,B27-B28*12*9,B27*(1+(B9/12))^(12*9)-B28*((1+(B9/12))^(12*9)-1)/(B9/12))</f>
        <v/>
      </c>
      <c r="J53" s="16">
        <f>H53-I53</f>
        <v/>
      </c>
    </row>
    <row r="54">
      <c r="A54" s="15" t="n">
        <v>10</v>
      </c>
      <c r="B54" s="16">
        <f>B29*(1+B21)^(10-1)</f>
        <v/>
      </c>
      <c r="C54" s="16">
        <f>B54*(1-B13)</f>
        <v/>
      </c>
      <c r="D54" s="16">
        <f>(B14+B15+B19)*(1+B22)^(10-1)+C54*(B16+B17+B18)</f>
        <v/>
      </c>
      <c r="E54" s="16">
        <f>C54-D54</f>
        <v/>
      </c>
      <c r="F54" s="16">
        <f>B33</f>
        <v/>
      </c>
      <c r="G54" s="16">
        <f>E54-F54</f>
        <v/>
      </c>
      <c r="H54" s="16">
        <f>B5*(1+B20)^10</f>
        <v/>
      </c>
      <c r="I54" s="16">
        <f>IF(B9=0,B27-B28*12*10,B27*(1+(B9/12))^(12*10)-B28*((1+(B9/12))^(12*10)-1)/(B9/12))</f>
        <v/>
      </c>
      <c r="J54" s="16">
        <f>H54-I54</f>
        <v/>
      </c>
    </row>
    <row r="57">
      <c r="A57" s="3" t="inlineStr">
        <is>
          <t>RETURN ON SALE  (at end of hold period)</t>
        </is>
      </c>
      <c r="B57" s="4" t="n"/>
    </row>
    <row r="58">
      <c r="A58" s="5" t="inlineStr">
        <is>
          <t>Projected sale price</t>
        </is>
      </c>
      <c r="B58" s="10">
        <f>(B5)*(1+B20)^B24</f>
        <v/>
      </c>
    </row>
    <row r="59">
      <c r="A59" s="5" t="inlineStr">
        <is>
          <t>Selling costs</t>
        </is>
      </c>
      <c r="B59" s="10">
        <f>B58*B23</f>
        <v/>
      </c>
    </row>
    <row r="60">
      <c r="A60" s="5" t="inlineStr">
        <is>
          <t>Loan payoff at sale</t>
        </is>
      </c>
      <c r="B60" s="10">
        <f>IF(B9=0,B27-B28*12*B24,B27*(1+(B9/12))^(12*B24)-B28*((1+(B9/12))^(12*B24)-1)/(B9/12))</f>
        <v/>
      </c>
    </row>
    <row r="61">
      <c r="A61" s="5" t="inlineStr">
        <is>
          <t>Net sale proceeds</t>
        </is>
      </c>
      <c r="B61" s="10">
        <f>B58-B59-B60</f>
        <v/>
      </c>
    </row>
    <row r="62">
      <c r="A62" s="5" t="inlineStr">
        <is>
          <t>Cumulative cash flow (hold)</t>
        </is>
      </c>
      <c r="B62" s="10">
        <f>SUMIF($A$45:$A$54,"&lt;="&amp;B24,$G$45:$G$54)</f>
        <v/>
      </c>
    </row>
    <row r="63">
      <c r="A63" s="5" t="inlineStr">
        <is>
          <t>Total profit</t>
        </is>
      </c>
      <c r="B63" s="10">
        <f>B61+B62-B36</f>
        <v/>
      </c>
    </row>
    <row r="64">
      <c r="A64" s="5" t="inlineStr">
        <is>
          <t>Equity multiple</t>
        </is>
      </c>
      <c r="B64" s="13">
        <f>(B61+B62)/B36</f>
        <v/>
      </c>
    </row>
    <row r="65">
      <c r="A65" s="5" t="inlineStr">
        <is>
          <t>Annualized return</t>
        </is>
      </c>
      <c r="B65" s="12">
        <f>((B61+B62)/B36)^(1/B24)-1</f>
        <v/>
      </c>
    </row>
  </sheetData>
  <mergeCells count="5">
    <mergeCell ref="A4:B4"/>
    <mergeCell ref="A26:B26"/>
    <mergeCell ref="A43:B43"/>
    <mergeCell ref="A57:B57"/>
    <mergeCell ref="A1:K1"/>
  </mergeCells>
  <conditionalFormatting sqref="B34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G45:G54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Rental Property Analysis — how to use</t>
        </is>
      </c>
    </row>
    <row r="2">
      <c r="A2" s="5" t="inlineStr"/>
    </row>
    <row r="3">
      <c r="A3" s="5" t="inlineStr">
        <is>
          <t>1.  Open the Analysis tab.</t>
        </is>
      </c>
    </row>
    <row r="4">
      <c r="A4" s="5" t="inlineStr">
        <is>
          <t>2.  Edit only the shaded blue input cells. Every result and the 10-year</t>
        </is>
      </c>
    </row>
    <row r="5">
      <c r="A5" s="5" t="inlineStr">
        <is>
          <t xml:space="preserve">     projection update automatically.</t>
        </is>
      </c>
    </row>
    <row r="6">
      <c r="A6" s="5" t="inlineStr">
        <is>
          <t>3.  Read the RESULTS block for the headline metrics, then the projection</t>
        </is>
      </c>
    </row>
    <row r="7">
      <c r="A7" s="5" t="inlineStr">
        <is>
          <t xml:space="preserve">     and RETURN ON SALE block for the full hold-period picture.</t>
        </is>
      </c>
    </row>
    <row r="8">
      <c r="A8" s="5" t="inlineStr"/>
    </row>
    <row r="9">
      <c r="A9" s="17" t="inlineStr">
        <is>
          <t>What the metrics mean</t>
        </is>
      </c>
    </row>
    <row r="10">
      <c r="A10" s="5" t="inlineStr">
        <is>
          <t>NOI — Net Operating Income: effective rental income minus operating</t>
        </is>
      </c>
    </row>
    <row r="11">
      <c r="A11" s="5" t="inlineStr">
        <is>
          <t xml:space="preserve">   expenses, before mortgage. The core measure of a property's earnings.</t>
        </is>
      </c>
    </row>
    <row r="12">
      <c r="A12" s="5" t="inlineStr">
        <is>
          <t>Cap rate — NOI / purchase price. Unleveraged yield; compare deals.</t>
        </is>
      </c>
    </row>
    <row r="13">
      <c r="A13" s="5" t="inlineStr">
        <is>
          <t>Cash-on-cash — annual cash flow / cash invested. Your actual cash yield.</t>
        </is>
      </c>
    </row>
    <row r="14">
      <c r="A14" s="5" t="inlineStr">
        <is>
          <t>DSCR — NOI / annual debt service. Lenders usually want 1.20+.</t>
        </is>
      </c>
    </row>
    <row r="15">
      <c r="A15" s="5" t="inlineStr">
        <is>
          <t>GRM — price / gross annual rent. A quick screening multiple.</t>
        </is>
      </c>
    </row>
    <row r="16">
      <c r="A16" s="5" t="inlineStr">
        <is>
          <t>1% rule — monthly rent / price. A fast rule-of-thumb screen (aim ≥ 1%).</t>
        </is>
      </c>
    </row>
    <row r="17">
      <c r="A17" s="5" t="inlineStr">
        <is>
          <t>Equity multiple — total cash returned / cash invested over the hold.</t>
        </is>
      </c>
    </row>
    <row r="18">
      <c r="A18" s="5" t="inlineStr"/>
    </row>
    <row r="19">
      <c r="A19" s="17" t="inlineStr">
        <is>
          <t>Assumptions &amp; notes</t>
        </is>
      </c>
    </row>
    <row r="20">
      <c r="A20" s="5" t="inlineStr">
        <is>
          <t>• Fixed-rate, fully-amortizing loan. Management/maintenance/CapEx are</t>
        </is>
      </c>
    </row>
    <row r="21">
      <c r="A21" s="5" t="inlineStr">
        <is>
          <t xml:space="preserve">   modeled as a % of effective gross income; taxes/insurance/HOA as fixed</t>
        </is>
      </c>
    </row>
    <row r="22">
      <c r="A22" s="5" t="inlineStr">
        <is>
          <t xml:space="preserve">   dollars that grow at the expense-growth rate.</t>
        </is>
      </c>
    </row>
    <row r="23">
      <c r="A23" s="5" t="inlineStr">
        <is>
          <t>• Estimates only — verify taxes, insurance, and rents for your market.</t>
        </is>
      </c>
    </row>
    <row r="24">
      <c r="A24" s="5" t="inlineStr">
        <is>
          <t xml:space="preserve">   This model is an analysis aid, not financial, tax, or investment advice.</t>
        </is>
      </c>
    </row>
    <row r="25">
      <c r="A25" s="5" t="inlineStr"/>
    </row>
    <row r="26">
      <c r="A26" s="18" t="inlineStr">
        <is>
          <t>Free companion calculators (no sign-up):</t>
        </is>
      </c>
    </row>
    <row r="27">
      <c r="A27" s="19" t="inlineStr">
        <is>
          <t xml:space="preserve">   https://myastroapp.github.io/rental-calculator/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myastroapp</dc:creator>
  <dc:title xmlns:dc="http://purl.org/dc/elements/1.1/">Rental Property Analysis Model</dc:title>
  <dc:description xmlns:dc="http://purl.org/dc/elements/1.1/">Single and small-multifamily rental underwriting model with a 10-year projection and return-on-sale analysis.</dc:description>
  <dcterms:created xmlns:dcterms="http://purl.org/dc/terms/" xmlns:xsi="http://www.w3.org/2001/XMLSchema-instance" xsi:type="dcterms:W3CDTF">2026-06-16T07:58:16Z</dcterms:created>
  <dcterms:modified xmlns:dcterms="http://purl.org/dc/terms/" xmlns:xsi="http://www.w3.org/2001/XMLSchema-instance" xsi:type="dcterms:W3CDTF">2026-06-16T07:58:16Z</dcterms:modified>
  <cp:lastModifiedBy>myastroapp</cp:lastModifiedBy>
</cp:coreProperties>
</file>