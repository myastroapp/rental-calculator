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0">
    <font>
      <name val="Calibri"/>
      <family val="2"/>
      <color theme="1"/>
      <sz val="11"/>
      <scheme val="minor"/>
    </font>
    <font>
      <b val="1"/>
      <color rgb="000D7D4D"/>
      <sz val="18"/>
    </font>
    <font>
      <i val="1"/>
      <color rgb="00656D76"/>
    </font>
    <font>
      <b val="1"/>
      <color rgb="00FFFFFF"/>
      <sz val="11"/>
    </font>
    <font>
      <b val="1"/>
    </font>
    <font>
      <b val="1"/>
      <sz val="11"/>
    </font>
    <font>
      <b val="1"/>
      <color rgb="000D7D4D"/>
      <sz val="12"/>
    </font>
    <font>
      <b val="1"/>
      <sz val="12"/>
    </font>
    <font>
      <sz val="11"/>
    </font>
    <font>
      <b val="1"/>
      <color rgb="000D7D4D"/>
      <sz val="13"/>
    </font>
  </fonts>
  <fills count="6">
    <fill>
      <patternFill/>
    </fill>
    <fill>
      <patternFill patternType="gray125"/>
    </fill>
    <fill>
      <patternFill patternType="solid">
        <fgColor rgb="00DCE9F7"/>
      </patternFill>
    </fill>
    <fill>
      <patternFill patternType="solid">
        <fgColor rgb="000D7D4D"/>
      </patternFill>
    </fill>
    <fill>
      <patternFill patternType="solid">
        <fgColor rgb="00EEF1F4"/>
      </patternFill>
    </fill>
    <fill>
      <patternFill patternType="solid">
        <fgColor rgb="002A9D6A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3" fillId="5" borderId="0" pivotButton="0" quotePrefix="0" xfId="0"/>
    <xf numFmtId="164" fontId="0" fillId="2" borderId="1" pivotButton="0" quotePrefix="0" xfId="0"/>
    <xf numFmtId="164" fontId="5" fillId="0" borderId="1" pivotButton="0" quotePrefix="0" xfId="0"/>
    <xf numFmtId="0" fontId="5" fillId="0" borderId="0" pivotButton="0" quotePrefix="0" xfId="0"/>
    <xf numFmtId="164" fontId="5" fillId="4" borderId="1" pivotButton="0" quotePrefix="0" xfId="0"/>
    <xf numFmtId="0" fontId="6" fillId="0" borderId="0" pivotButton="0" quotePrefix="0" xfId="0"/>
    <xf numFmtId="164" fontId="7" fillId="0" borderId="1" pivotButton="0" quotePrefix="0" xfId="0"/>
    <xf numFmtId="164" fontId="5" fillId="0" borderId="0" pivotButton="0" quotePrefix="0" xfId="0"/>
    <xf numFmtId="0" fontId="8" fillId="0" borderId="0" pivotButton="0" quotePrefix="0" xfId="0"/>
    <xf numFmtId="164" fontId="0" fillId="2" borderId="0" pivotButton="0" quotePrefix="0" xfId="0"/>
    <xf numFmtId="10" fontId="5" fillId="0" borderId="0" pivotButton="0" quotePrefix="0" xfId="0"/>
    <xf numFmtId="0" fontId="9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</cols>
  <sheetData>
    <row r="1">
      <c r="A1" s="1" t="inlineStr">
        <is>
          <t>Rental Income &amp; Expense Tracker</t>
        </is>
      </c>
    </row>
    <row r="2">
      <c r="A2" t="inlineStr">
        <is>
          <t>Property:</t>
        </is>
      </c>
      <c r="B2" s="2" t="inlineStr">
        <is>
          <t>123 Example St</t>
        </is>
      </c>
      <c r="H2" t="inlineStr">
        <is>
          <t>Tax year:</t>
        </is>
      </c>
      <c r="I2" s="2" t="n">
        <v>2026</v>
      </c>
    </row>
    <row r="3">
      <c r="A3" s="3" t="inlineStr">
        <is>
          <t>Sample data shown — clear the blue cells and enter your own. Totals update automatically.</t>
        </is>
      </c>
    </row>
    <row r="4">
      <c r="A4" s="4" t="inlineStr">
        <is>
          <t>Category</t>
        </is>
      </c>
      <c r="B4" s="5" t="inlineStr">
        <is>
          <t>Jan</t>
        </is>
      </c>
      <c r="C4" s="5" t="inlineStr">
        <is>
          <t>Feb</t>
        </is>
      </c>
      <c r="D4" s="5" t="inlineStr">
        <is>
          <t>Mar</t>
        </is>
      </c>
      <c r="E4" s="5" t="inlineStr">
        <is>
          <t>Apr</t>
        </is>
      </c>
      <c r="F4" s="5" t="inlineStr">
        <is>
          <t>May</t>
        </is>
      </c>
      <c r="G4" s="5" t="inlineStr">
        <is>
          <t>Jun</t>
        </is>
      </c>
      <c r="H4" s="5" t="inlineStr">
        <is>
          <t>Jul</t>
        </is>
      </c>
      <c r="I4" s="5" t="inlineStr">
        <is>
          <t>Aug</t>
        </is>
      </c>
      <c r="J4" s="5" t="inlineStr">
        <is>
          <t>Sep</t>
        </is>
      </c>
      <c r="K4" s="5" t="inlineStr">
        <is>
          <t>Oct</t>
        </is>
      </c>
      <c r="L4" s="5" t="inlineStr">
        <is>
          <t>Nov</t>
        </is>
      </c>
      <c r="M4" s="5" t="inlineStr">
        <is>
          <t>Dec</t>
        </is>
      </c>
      <c r="N4" s="5" t="inlineStr">
        <is>
          <t>Total</t>
        </is>
      </c>
    </row>
    <row r="5">
      <c r="A5" s="6" t="inlineStr">
        <is>
          <t>INCOME</t>
        </is>
      </c>
    </row>
    <row r="6">
      <c r="A6" t="inlineStr">
        <is>
          <t>Rent</t>
        </is>
      </c>
      <c r="B6" s="7" t="n">
        <v>1500</v>
      </c>
      <c r="C6" s="7" t="n">
        <v>1500</v>
      </c>
      <c r="D6" s="7" t="n">
        <v>1500</v>
      </c>
      <c r="E6" s="7" t="n">
        <v>1500</v>
      </c>
      <c r="F6" s="7" t="n">
        <v>1500</v>
      </c>
      <c r="G6" s="7" t="n">
        <v>1500</v>
      </c>
      <c r="H6" s="7" t="n">
        <v>1500</v>
      </c>
      <c r="I6" s="7" t="n">
        <v>1500</v>
      </c>
      <c r="J6" s="7" t="n">
        <v>1500</v>
      </c>
      <c r="K6" s="7" t="n">
        <v>1500</v>
      </c>
      <c r="L6" s="7" t="n">
        <v>1500</v>
      </c>
      <c r="M6" s="7" t="n">
        <v>1500</v>
      </c>
      <c r="N6" s="8">
        <f>SUM(B6:M6)</f>
        <v/>
      </c>
    </row>
    <row r="7">
      <c r="A7" t="inlineStr">
        <is>
          <t>Other income (late fees, laundry, parking)</t>
        </is>
      </c>
      <c r="B7" s="7" t="n">
        <v>50</v>
      </c>
      <c r="C7" s="7" t="n">
        <v>50</v>
      </c>
      <c r="D7" s="7" t="n">
        <v>50</v>
      </c>
      <c r="E7" s="7" t="n">
        <v>50</v>
      </c>
      <c r="F7" s="7" t="n">
        <v>50</v>
      </c>
      <c r="G7" s="7" t="n">
        <v>50</v>
      </c>
      <c r="H7" s="7" t="n">
        <v>50</v>
      </c>
      <c r="I7" s="7" t="n">
        <v>50</v>
      </c>
      <c r="J7" s="7" t="n">
        <v>50</v>
      </c>
      <c r="K7" s="7" t="n">
        <v>50</v>
      </c>
      <c r="L7" s="7" t="n">
        <v>50</v>
      </c>
      <c r="M7" s="7" t="n">
        <v>50</v>
      </c>
      <c r="N7" s="8">
        <f>SUM(B7:M7)</f>
        <v/>
      </c>
    </row>
    <row r="8">
      <c r="A8" s="9" t="inlineStr">
        <is>
          <t>Total income</t>
        </is>
      </c>
      <c r="B8" s="10">
        <f>SUM(B6:B7)</f>
        <v/>
      </c>
      <c r="C8" s="10">
        <f>SUM(C6:C7)</f>
        <v/>
      </c>
      <c r="D8" s="10">
        <f>SUM(D6:D7)</f>
        <v/>
      </c>
      <c r="E8" s="10">
        <f>SUM(E6:E7)</f>
        <v/>
      </c>
      <c r="F8" s="10">
        <f>SUM(F6:F7)</f>
        <v/>
      </c>
      <c r="G8" s="10">
        <f>SUM(G6:G7)</f>
        <v/>
      </c>
      <c r="H8" s="10">
        <f>SUM(H6:H7)</f>
        <v/>
      </c>
      <c r="I8" s="10">
        <f>SUM(I6:I7)</f>
        <v/>
      </c>
      <c r="J8" s="10">
        <f>SUM(J6:J7)</f>
        <v/>
      </c>
      <c r="K8" s="10">
        <f>SUM(K6:K7)</f>
        <v/>
      </c>
      <c r="L8" s="10">
        <f>SUM(L6:L7)</f>
        <v/>
      </c>
      <c r="M8" s="10">
        <f>SUM(M6:M7)</f>
        <v/>
      </c>
      <c r="N8" s="10">
        <f>SUM(N6:N7)</f>
        <v/>
      </c>
    </row>
    <row r="9">
      <c r="A9" s="6" t="inlineStr">
        <is>
          <t>EXPENSES  (IRS Schedule E categories)</t>
        </is>
      </c>
    </row>
    <row r="10">
      <c r="A10" t="inlineStr">
        <is>
          <t>Advertising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8">
        <f>SUM(B10:M10)</f>
        <v/>
      </c>
    </row>
    <row r="11">
      <c r="A11" t="inlineStr">
        <is>
          <t>Auto &amp; travel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8">
        <f>SUM(B11:M11)</f>
        <v/>
      </c>
    </row>
    <row r="12">
      <c r="A12" t="inlineStr">
        <is>
          <t>Cleaning &amp; maintenance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8">
        <f>SUM(B12:M12)</f>
        <v/>
      </c>
    </row>
    <row r="13">
      <c r="A13" t="inlineStr">
        <is>
          <t>Commissions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8">
        <f>SUM(B13:M13)</f>
        <v/>
      </c>
    </row>
    <row r="14">
      <c r="A14" t="inlineStr">
        <is>
          <t>Insurance</t>
        </is>
      </c>
      <c r="B14" s="7" t="n">
        <v>100</v>
      </c>
      <c r="C14" s="7" t="n">
        <v>100</v>
      </c>
      <c r="D14" s="7" t="n">
        <v>100</v>
      </c>
      <c r="E14" s="7" t="n">
        <v>100</v>
      </c>
      <c r="F14" s="7" t="n">
        <v>100</v>
      </c>
      <c r="G14" s="7" t="n">
        <v>100</v>
      </c>
      <c r="H14" s="7" t="n">
        <v>100</v>
      </c>
      <c r="I14" s="7" t="n">
        <v>100</v>
      </c>
      <c r="J14" s="7" t="n">
        <v>100</v>
      </c>
      <c r="K14" s="7" t="n">
        <v>100</v>
      </c>
      <c r="L14" s="7" t="n">
        <v>100</v>
      </c>
      <c r="M14" s="7" t="n">
        <v>100</v>
      </c>
      <c r="N14" s="8">
        <f>SUM(B14:M14)</f>
        <v/>
      </c>
    </row>
    <row r="15">
      <c r="A15" t="inlineStr">
        <is>
          <t>Legal &amp; professional fees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8">
        <f>SUM(B15:M15)</f>
        <v/>
      </c>
    </row>
    <row r="16">
      <c r="A16" t="inlineStr">
        <is>
          <t>Management fees</t>
        </is>
      </c>
      <c r="B16" s="7" t="n">
        <v>150</v>
      </c>
      <c r="C16" s="7" t="n">
        <v>150</v>
      </c>
      <c r="D16" s="7" t="n">
        <v>150</v>
      </c>
      <c r="E16" s="7" t="n">
        <v>150</v>
      </c>
      <c r="F16" s="7" t="n">
        <v>150</v>
      </c>
      <c r="G16" s="7" t="n">
        <v>150</v>
      </c>
      <c r="H16" s="7" t="n">
        <v>150</v>
      </c>
      <c r="I16" s="7" t="n">
        <v>150</v>
      </c>
      <c r="J16" s="7" t="n">
        <v>150</v>
      </c>
      <c r="K16" s="7" t="n">
        <v>150</v>
      </c>
      <c r="L16" s="7" t="n">
        <v>150</v>
      </c>
      <c r="M16" s="7" t="n">
        <v>150</v>
      </c>
      <c r="N16" s="8">
        <f>SUM(B16:M16)</f>
        <v/>
      </c>
    </row>
    <row r="17">
      <c r="A17" t="inlineStr">
        <is>
          <t>Mortgage interest</t>
        </is>
      </c>
      <c r="B17" s="7" t="n">
        <v>700</v>
      </c>
      <c r="C17" s="7" t="n">
        <v>700</v>
      </c>
      <c r="D17" s="7" t="n">
        <v>700</v>
      </c>
      <c r="E17" s="7" t="n">
        <v>700</v>
      </c>
      <c r="F17" s="7" t="n">
        <v>700</v>
      </c>
      <c r="G17" s="7" t="n">
        <v>700</v>
      </c>
      <c r="H17" s="7" t="n">
        <v>700</v>
      </c>
      <c r="I17" s="7" t="n">
        <v>700</v>
      </c>
      <c r="J17" s="7" t="n">
        <v>700</v>
      </c>
      <c r="K17" s="7" t="n">
        <v>700</v>
      </c>
      <c r="L17" s="7" t="n">
        <v>700</v>
      </c>
      <c r="M17" s="7" t="n">
        <v>700</v>
      </c>
      <c r="N17" s="8">
        <f>SUM(B17:M17)</f>
        <v/>
      </c>
    </row>
    <row r="18">
      <c r="A18" t="inlineStr">
        <is>
          <t>Repairs</t>
        </is>
      </c>
      <c r="B18" s="7" t="n">
        <v>80</v>
      </c>
      <c r="C18" s="7" t="n">
        <v>80</v>
      </c>
      <c r="D18" s="7" t="n">
        <v>80</v>
      </c>
      <c r="E18" s="7" t="n">
        <v>80</v>
      </c>
      <c r="F18" s="7" t="n">
        <v>80</v>
      </c>
      <c r="G18" s="7" t="n">
        <v>80</v>
      </c>
      <c r="H18" s="7" t="n">
        <v>80</v>
      </c>
      <c r="I18" s="7" t="n">
        <v>80</v>
      </c>
      <c r="J18" s="7" t="n">
        <v>80</v>
      </c>
      <c r="K18" s="7" t="n">
        <v>80</v>
      </c>
      <c r="L18" s="7" t="n">
        <v>80</v>
      </c>
      <c r="M18" s="7" t="n">
        <v>80</v>
      </c>
      <c r="N18" s="8">
        <f>SUM(B18:M18)</f>
        <v/>
      </c>
    </row>
    <row r="19">
      <c r="A19" t="inlineStr">
        <is>
          <t>Supplies</t>
        </is>
      </c>
      <c r="B19" s="7" t="n">
        <v>20</v>
      </c>
      <c r="C19" s="7" t="n">
        <v>20</v>
      </c>
      <c r="D19" s="7" t="n">
        <v>20</v>
      </c>
      <c r="E19" s="7" t="n">
        <v>20</v>
      </c>
      <c r="F19" s="7" t="n">
        <v>20</v>
      </c>
      <c r="G19" s="7" t="n">
        <v>20</v>
      </c>
      <c r="H19" s="7" t="n">
        <v>20</v>
      </c>
      <c r="I19" s="7" t="n">
        <v>20</v>
      </c>
      <c r="J19" s="7" t="n">
        <v>20</v>
      </c>
      <c r="K19" s="7" t="n">
        <v>20</v>
      </c>
      <c r="L19" s="7" t="n">
        <v>20</v>
      </c>
      <c r="M19" s="7" t="n">
        <v>20</v>
      </c>
      <c r="N19" s="8">
        <f>SUM(B19:M19)</f>
        <v/>
      </c>
    </row>
    <row r="20">
      <c r="A20" t="inlineStr">
        <is>
          <t>Property taxes</t>
        </is>
      </c>
      <c r="B20" s="7" t="n">
        <v>250</v>
      </c>
      <c r="C20" s="7" t="n">
        <v>250</v>
      </c>
      <c r="D20" s="7" t="n">
        <v>250</v>
      </c>
      <c r="E20" s="7" t="n">
        <v>250</v>
      </c>
      <c r="F20" s="7" t="n">
        <v>250</v>
      </c>
      <c r="G20" s="7" t="n">
        <v>250</v>
      </c>
      <c r="H20" s="7" t="n">
        <v>250</v>
      </c>
      <c r="I20" s="7" t="n">
        <v>250</v>
      </c>
      <c r="J20" s="7" t="n">
        <v>250</v>
      </c>
      <c r="K20" s="7" t="n">
        <v>250</v>
      </c>
      <c r="L20" s="7" t="n">
        <v>250</v>
      </c>
      <c r="M20" s="7" t="n">
        <v>250</v>
      </c>
      <c r="N20" s="8">
        <f>SUM(B20:M20)</f>
        <v/>
      </c>
    </row>
    <row r="21">
      <c r="A21" t="inlineStr">
        <is>
          <t>Utilities</t>
        </is>
      </c>
      <c r="B21" s="7" t="n">
        <v>60</v>
      </c>
      <c r="C21" s="7" t="n">
        <v>60</v>
      </c>
      <c r="D21" s="7" t="n">
        <v>60</v>
      </c>
      <c r="E21" s="7" t="n">
        <v>60</v>
      </c>
      <c r="F21" s="7" t="n">
        <v>60</v>
      </c>
      <c r="G21" s="7" t="n">
        <v>60</v>
      </c>
      <c r="H21" s="7" t="n">
        <v>60</v>
      </c>
      <c r="I21" s="7" t="n">
        <v>60</v>
      </c>
      <c r="J21" s="7" t="n">
        <v>60</v>
      </c>
      <c r="K21" s="7" t="n">
        <v>60</v>
      </c>
      <c r="L21" s="7" t="n">
        <v>60</v>
      </c>
      <c r="M21" s="7" t="n">
        <v>60</v>
      </c>
      <c r="N21" s="8">
        <f>SUM(B21:M21)</f>
        <v/>
      </c>
    </row>
    <row r="22">
      <c r="A22" t="inlineStr">
        <is>
          <t>Other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8">
        <f>SUM(B22:M22)</f>
        <v/>
      </c>
    </row>
    <row r="23">
      <c r="A23" s="9" t="inlineStr">
        <is>
          <t>Total expenses</t>
        </is>
      </c>
      <c r="B23" s="10">
        <f>SUM(B10:B22)</f>
        <v/>
      </c>
      <c r="C23" s="10">
        <f>SUM(C10:C22)</f>
        <v/>
      </c>
      <c r="D23" s="10">
        <f>SUM(D10:D22)</f>
        <v/>
      </c>
      <c r="E23" s="10">
        <f>SUM(E10:E22)</f>
        <v/>
      </c>
      <c r="F23" s="10">
        <f>SUM(F10:F22)</f>
        <v/>
      </c>
      <c r="G23" s="10">
        <f>SUM(G10:G22)</f>
        <v/>
      </c>
      <c r="H23" s="10">
        <f>SUM(H10:H22)</f>
        <v/>
      </c>
      <c r="I23" s="10">
        <f>SUM(I10:I22)</f>
        <v/>
      </c>
      <c r="J23" s="10">
        <f>SUM(J10:J22)</f>
        <v/>
      </c>
      <c r="K23" s="10">
        <f>SUM(K10:K22)</f>
        <v/>
      </c>
      <c r="L23" s="10">
        <f>SUM(L10:L22)</f>
        <v/>
      </c>
      <c r="M23" s="10">
        <f>SUM(M10:M22)</f>
        <v/>
      </c>
      <c r="N23" s="10">
        <f>SUM(N10:N22)</f>
        <v/>
      </c>
    </row>
    <row r="24">
      <c r="A24" s="11" t="inlineStr">
        <is>
          <t>NET CASH FLOW</t>
        </is>
      </c>
      <c r="B24" s="8">
        <f>B8-B23</f>
        <v/>
      </c>
      <c r="C24" s="8">
        <f>C8-C23</f>
        <v/>
      </c>
      <c r="D24" s="8">
        <f>D8-D23</f>
        <v/>
      </c>
      <c r="E24" s="8">
        <f>E8-E23</f>
        <v/>
      </c>
      <c r="F24" s="8">
        <f>F8-F23</f>
        <v/>
      </c>
      <c r="G24" s="8">
        <f>G8-G23</f>
        <v/>
      </c>
      <c r="H24" s="8">
        <f>H8-H23</f>
        <v/>
      </c>
      <c r="I24" s="8">
        <f>I8-I23</f>
        <v/>
      </c>
      <c r="J24" s="8">
        <f>J8-J23</f>
        <v/>
      </c>
      <c r="K24" s="8">
        <f>K8-K23</f>
        <v/>
      </c>
      <c r="L24" s="8">
        <f>L8-L23</f>
        <v/>
      </c>
      <c r="M24" s="8">
        <f>M8-M23</f>
        <v/>
      </c>
      <c r="N24" s="12">
        <f>N8-N23</f>
        <v/>
      </c>
    </row>
  </sheetData>
  <mergeCells count="4">
    <mergeCell ref="A5:N5"/>
    <mergeCell ref="A9:N9"/>
    <mergeCell ref="A3:N3"/>
    <mergeCell ref="A1:N1"/>
  </mergeCells>
  <conditionalFormatting sqref="B24:N24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</cols>
  <sheetData>
    <row r="1">
      <c r="A1" s="1" t="inlineStr">
        <is>
          <t>Annual Summary</t>
        </is>
      </c>
    </row>
    <row r="3">
      <c r="A3" s="9" t="inlineStr">
        <is>
          <t>Total income</t>
        </is>
      </c>
      <c r="B3" s="13">
        <f>Tracker!N8</f>
        <v/>
      </c>
    </row>
    <row r="4">
      <c r="A4" s="9" t="inlineStr">
        <is>
          <t>Total expenses</t>
        </is>
      </c>
      <c r="B4" s="13">
        <f>Tracker!N23</f>
        <v/>
      </c>
    </row>
    <row r="5">
      <c r="A5" s="9" t="inlineStr">
        <is>
          <t>Net operating cash flow</t>
        </is>
      </c>
      <c r="B5" s="13">
        <f>Tracker!N24</f>
        <v/>
      </c>
    </row>
    <row r="7">
      <c r="A7" s="14" t="inlineStr">
        <is>
          <t>Cash invested (for cash-on-cash)</t>
        </is>
      </c>
      <c r="B7" s="15" t="n">
        <v>46000</v>
      </c>
    </row>
    <row r="8">
      <c r="A8" s="9" t="inlineStr">
        <is>
          <t>Cash-on-cash return</t>
        </is>
      </c>
      <c r="B8" s="16">
        <f>IF(B7=0,0,B5/B7)</f>
        <v/>
      </c>
    </row>
    <row r="10">
      <c r="A10" s="17" t="inlineStr">
        <is>
          <t>Expense breakdown</t>
        </is>
      </c>
    </row>
    <row r="11">
      <c r="A11" s="18" t="inlineStr">
        <is>
          <t>Category</t>
        </is>
      </c>
      <c r="B11" s="18" t="inlineStr">
        <is>
          <t>Annual</t>
        </is>
      </c>
      <c r="C11" s="18" t="inlineStr">
        <is>
          <t>% of exp</t>
        </is>
      </c>
    </row>
    <row r="12">
      <c r="A12" s="14" t="inlineStr">
        <is>
          <t>Advertising</t>
        </is>
      </c>
      <c r="B12" s="19">
        <f>Tracker!N10</f>
        <v/>
      </c>
      <c r="C12" s="20">
        <f>IF(B4=0,0,Tracker!N10/B4)</f>
        <v/>
      </c>
    </row>
    <row r="13">
      <c r="A13" s="14" t="inlineStr">
        <is>
          <t>Auto &amp; travel</t>
        </is>
      </c>
      <c r="B13" s="19">
        <f>Tracker!N11</f>
        <v/>
      </c>
      <c r="C13" s="20">
        <f>IF(B4=0,0,Tracker!N11/B4)</f>
        <v/>
      </c>
    </row>
    <row r="14">
      <c r="A14" s="14" t="inlineStr">
        <is>
          <t>Cleaning &amp; maintenance</t>
        </is>
      </c>
      <c r="B14" s="19">
        <f>Tracker!N12</f>
        <v/>
      </c>
      <c r="C14" s="20">
        <f>IF(B4=0,0,Tracker!N12/B4)</f>
        <v/>
      </c>
    </row>
    <row r="15">
      <c r="A15" s="14" t="inlineStr">
        <is>
          <t>Commissions</t>
        </is>
      </c>
      <c r="B15" s="19">
        <f>Tracker!N13</f>
        <v/>
      </c>
      <c r="C15" s="20">
        <f>IF(B4=0,0,Tracker!N13/B4)</f>
        <v/>
      </c>
    </row>
    <row r="16">
      <c r="A16" s="14" t="inlineStr">
        <is>
          <t>Insurance</t>
        </is>
      </c>
      <c r="B16" s="19">
        <f>Tracker!N14</f>
        <v/>
      </c>
      <c r="C16" s="20">
        <f>IF(B4=0,0,Tracker!N14/B4)</f>
        <v/>
      </c>
    </row>
    <row r="17">
      <c r="A17" s="14" t="inlineStr">
        <is>
          <t>Legal &amp; professional fees</t>
        </is>
      </c>
      <c r="B17" s="19">
        <f>Tracker!N15</f>
        <v/>
      </c>
      <c r="C17" s="20">
        <f>IF(B4=0,0,Tracker!N15/B4)</f>
        <v/>
      </c>
    </row>
    <row r="18">
      <c r="A18" s="14" t="inlineStr">
        <is>
          <t>Management fees</t>
        </is>
      </c>
      <c r="B18" s="19">
        <f>Tracker!N16</f>
        <v/>
      </c>
      <c r="C18" s="20">
        <f>IF(B4=0,0,Tracker!N16/B4)</f>
        <v/>
      </c>
    </row>
    <row r="19">
      <c r="A19" s="14" t="inlineStr">
        <is>
          <t>Mortgage interest</t>
        </is>
      </c>
      <c r="B19" s="19">
        <f>Tracker!N17</f>
        <v/>
      </c>
      <c r="C19" s="20">
        <f>IF(B4=0,0,Tracker!N17/B4)</f>
        <v/>
      </c>
    </row>
    <row r="20">
      <c r="A20" s="14" t="inlineStr">
        <is>
          <t>Repairs</t>
        </is>
      </c>
      <c r="B20" s="19">
        <f>Tracker!N18</f>
        <v/>
      </c>
      <c r="C20" s="20">
        <f>IF(B4=0,0,Tracker!N18/B4)</f>
        <v/>
      </c>
    </row>
    <row r="21">
      <c r="A21" s="14" t="inlineStr">
        <is>
          <t>Supplies</t>
        </is>
      </c>
      <c r="B21" s="19">
        <f>Tracker!N19</f>
        <v/>
      </c>
      <c r="C21" s="20">
        <f>IF(B4=0,0,Tracker!N19/B4)</f>
        <v/>
      </c>
    </row>
    <row r="22">
      <c r="A22" s="14" t="inlineStr">
        <is>
          <t>Property taxes</t>
        </is>
      </c>
      <c r="B22" s="19">
        <f>Tracker!N20</f>
        <v/>
      </c>
      <c r="C22" s="20">
        <f>IF(B4=0,0,Tracker!N20/B4)</f>
        <v/>
      </c>
    </row>
    <row r="23">
      <c r="A23" s="14" t="inlineStr">
        <is>
          <t>Utilities</t>
        </is>
      </c>
      <c r="B23" s="19">
        <f>Tracker!N21</f>
        <v/>
      </c>
      <c r="C23" s="20">
        <f>IF(B4=0,0,Tracker!N21/B4)</f>
        <v/>
      </c>
    </row>
    <row r="24">
      <c r="A24" s="14" t="inlineStr">
        <is>
          <t>Other</t>
        </is>
      </c>
      <c r="B24" s="19">
        <f>Tracker!N22</f>
        <v/>
      </c>
      <c r="C24" s="20">
        <f>IF(B4=0,0,Tracker!N22/B4)</f>
        <v/>
      </c>
    </row>
    <row r="26">
      <c r="A26" s="3" t="inlineStr">
        <is>
          <t>These categories follow IRS Schedule E lines — export or hand to your</t>
        </is>
      </c>
    </row>
    <row r="27">
      <c r="A27" s="3" t="inlineStr">
        <is>
          <t>accountant at tax time. For organization only; not tax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myastroapp</dc:creator>
  <dc:title xmlns:dc="http://purl.org/dc/elements/1.1/">Rental Income &amp; Expense Tracker</dc:title>
  <dc:description xmlns:dc="http://purl.org/dc/elements/1.1/">Monthly rental income/expense ledger with Schedule-E categories and an annual P&amp;L summary.</dc:description>
  <dcterms:created xmlns:dcterms="http://purl.org/dc/terms/" xmlns:xsi="http://www.w3.org/2001/XMLSchema-instance" xsi:type="dcterms:W3CDTF">2026-06-16T08:07:23Z</dcterms:created>
  <dcterms:modified xmlns:dcterms="http://purl.org/dc/terms/" xmlns:xsi="http://www.w3.org/2001/XMLSchema-instance" xsi:type="dcterms:W3CDTF">2026-06-16T08:07:23Z</dcterms:modified>
  <cp:lastModifiedBy>myastroapp</cp:lastModifiedBy>
</cp:coreProperties>
</file>